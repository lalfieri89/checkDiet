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ano &amp; Obiettivi" sheetId="1" state="visible" r:id="rId1"/>
    <sheet xmlns:r="http://schemas.openxmlformats.org/officeDocument/2006/relationships" name="7 Pasti" sheetId="2" state="visible" r:id="rId2"/>
    <sheet xmlns:r="http://schemas.openxmlformats.org/officeDocument/2006/relationships" name="Lista Spes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5F"/>
      <sz val="15"/>
    </font>
    <font>
      <name val="Arial"/>
      <i val="1"/>
      <color rgb="00555555"/>
      <sz val="10"/>
    </font>
    <font>
      <name val="Arial"/>
      <sz val="11"/>
    </font>
    <font>
      <name val="Arial"/>
      <b val="1"/>
      <color rgb="00FFFFFF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9E6EB"/>
      </patternFill>
    </fill>
    <fill>
      <patternFill patternType="solid">
        <fgColor rgb="00FCE8B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56" customWidth="1" min="3" max="3"/>
    <col width="4" customWidth="1" min="4" max="4"/>
  </cols>
  <sheetData>
    <row r="1">
      <c r="A1" s="1" t="inlineStr">
        <is>
          <t>Dieta Chetogenica + Digiuno 23h — Piano personalizzato</t>
        </is>
      </c>
    </row>
    <row r="2">
      <c r="A2" s="2" t="inlineStr">
        <is>
          <t>Peso attuale 97 kg · Obiettivo -10/15 kg in ~3 mesi · 1 pasto/giorno · 2 carne / 3 pesce / 2 veg</t>
        </is>
      </c>
    </row>
    <row r="3">
      <c r="A3" s="3" t="inlineStr"/>
      <c r="B3" s="3" t="inlineStr"/>
      <c r="C3" s="3" t="inlineStr"/>
      <c r="D3" s="3" t="n"/>
    </row>
    <row r="4">
      <c r="A4" s="4" t="inlineStr">
        <is>
          <t>OBIETTIVI GIORNALIERI</t>
        </is>
      </c>
      <c r="B4" s="4" t="inlineStr"/>
      <c r="C4" s="4" t="inlineStr"/>
      <c r="D4" s="4" t="n"/>
    </row>
    <row r="5">
      <c r="A5" s="5" t="inlineStr">
        <is>
          <t>Parametro</t>
        </is>
      </c>
      <c r="B5" s="5" t="inlineStr">
        <is>
          <t>Target</t>
        </is>
      </c>
      <c r="C5" s="5" t="inlineStr">
        <is>
          <t>Note</t>
        </is>
      </c>
      <c r="D5" s="5" t="n"/>
    </row>
    <row r="6">
      <c r="A6" s="3" t="inlineStr">
        <is>
          <t>Calorie</t>
        </is>
      </c>
      <c r="B6" s="3" t="inlineStr">
        <is>
          <t>~1.400 kcal</t>
        </is>
      </c>
      <c r="C6" s="3" t="inlineStr">
        <is>
          <t>Deficit per ~1,2 kg/settimana</t>
        </is>
      </c>
      <c r="D6" s="3" t="n"/>
    </row>
    <row r="7">
      <c r="A7" s="3" t="inlineStr">
        <is>
          <t>Proteine</t>
        </is>
      </c>
      <c r="B7" s="3" t="inlineStr">
        <is>
          <t>120 - 150 g</t>
        </is>
      </c>
      <c r="C7" s="3" t="inlineStr">
        <is>
          <t>PRIORITÀ: proteggono il muscolo. Mangiale per prime</t>
        </is>
      </c>
      <c r="D7" s="3" t="n"/>
    </row>
    <row r="8">
      <c r="A8" s="3" t="inlineStr">
        <is>
          <t>Carboidrati netti</t>
        </is>
      </c>
      <c r="B8" s="3" t="inlineStr">
        <is>
          <t>&lt; 25 g</t>
        </is>
      </c>
      <c r="C8" s="3" t="inlineStr">
        <is>
          <t>Per restare in chetosi</t>
        </is>
      </c>
      <c r="D8" s="3" t="n"/>
    </row>
    <row r="9">
      <c r="A9" s="3" t="inlineStr">
        <is>
          <t>Grassi</t>
        </is>
      </c>
      <c r="B9" s="3" t="inlineStr">
        <is>
          <t>il resto (~90 g)</t>
        </is>
      </c>
      <c r="C9" s="3" t="inlineStr">
        <is>
          <t>Riempitivo/sazietà, non un obiettivo da forzare</t>
        </is>
      </c>
      <c r="D9" s="3" t="n"/>
    </row>
    <row r="10">
      <c r="A10" s="3" t="inlineStr">
        <is>
          <t>Acqua</t>
        </is>
      </c>
      <c r="B10" s="3" t="inlineStr">
        <is>
          <t>2,5 - 3 L</t>
        </is>
      </c>
      <c r="C10" s="3" t="inlineStr">
        <is>
          <t>Caffè/tè amari e Bolero permessi nel digiuno</t>
        </is>
      </c>
      <c r="D10" s="3" t="n"/>
    </row>
    <row r="11">
      <c r="A11" s="3" t="inlineStr"/>
      <c r="B11" s="3" t="inlineStr"/>
      <c r="C11" s="3" t="inlineStr"/>
      <c r="D11" s="3" t="n"/>
    </row>
    <row r="12">
      <c r="A12" s="3" t="inlineStr">
        <is>
          <t>ELETTROLITI (ogni giorno, durante il digiuno)</t>
        </is>
      </c>
      <c r="B12" s="3" t="inlineStr"/>
      <c r="C12" s="3" t="inlineStr"/>
      <c r="D12" s="3" t="n"/>
    </row>
    <row r="13">
      <c r="A13" s="5" t="inlineStr">
        <is>
          <t>Elettrolita</t>
        </is>
      </c>
      <c r="B13" s="5" t="inlineStr">
        <is>
          <t>Dose</t>
        </is>
      </c>
      <c r="C13" s="5" t="inlineStr">
        <is>
          <t>Fonte</t>
        </is>
      </c>
      <c r="D13" s="5" t="n"/>
    </row>
    <row r="14">
      <c r="A14" s="3" t="inlineStr">
        <is>
          <t>Sodio</t>
        </is>
      </c>
      <c r="B14" s="3" t="inlineStr">
        <is>
          <t>4 - 5 g</t>
        </is>
      </c>
      <c r="C14" s="3" t="inlineStr">
        <is>
          <t>Sale nell'acqua o sul cibo / brodo. Toglie mal di testa e stanchezza</t>
        </is>
      </c>
      <c r="D14" s="3" t="n"/>
    </row>
    <row r="15">
      <c r="A15" s="3" t="inlineStr">
        <is>
          <t>Potassio</t>
        </is>
      </c>
      <c r="B15" s="3" t="inlineStr">
        <is>
          <t>3 - 4 g</t>
        </is>
      </c>
      <c r="C15" s="3" t="inlineStr">
        <is>
          <t>Verdure, avocado; eventuale citrato di potassio</t>
        </is>
      </c>
      <c r="D15" s="3" t="n"/>
    </row>
    <row r="16">
      <c r="A16" s="3" t="inlineStr">
        <is>
          <t>Magnesio</t>
        </is>
      </c>
      <c r="B16" s="3" t="inlineStr">
        <is>
          <t>300 - 400 mg</t>
        </is>
      </c>
      <c r="C16" s="3" t="inlineStr">
        <is>
          <t>Citrato/bisglicinato la sera: previene crampi, migliora il sonno</t>
        </is>
      </c>
      <c r="D16" s="3" t="n"/>
    </row>
    <row r="17">
      <c r="A17" s="3" t="inlineStr">
        <is>
          <t>NB Bolero</t>
        </is>
      </c>
      <c r="B17" s="3" t="inlineStr">
        <is>
          <t>NON sono elettroliti</t>
        </is>
      </c>
      <c r="C17" s="3" t="inlineStr">
        <is>
          <t>Solo aroma + dolcificante. Vanno bene per bere, ma il sale/magnesio prendili a parte</t>
        </is>
      </c>
      <c r="D17" s="3" t="n"/>
    </row>
    <row r="18">
      <c r="A18" s="3" t="inlineStr"/>
      <c r="B18" s="3" t="inlineStr"/>
      <c r="C18" s="3" t="inlineStr"/>
      <c r="D18" s="3" t="n"/>
    </row>
    <row r="19">
      <c r="A19" s="4" t="inlineStr">
        <is>
          <t>REGOLE DEL PASTO UNICO</t>
        </is>
      </c>
      <c r="B19" s="4" t="inlineStr"/>
      <c r="C19" s="4" t="inlineStr"/>
      <c r="D19" s="4" t="n"/>
    </row>
    <row r="20">
      <c r="A20" s="6" t="inlineStr">
        <is>
          <t>1.</t>
        </is>
      </c>
      <c r="B20" s="3" t="inlineStr">
        <is>
          <t>Prima le proteine, poi le verdure, i grassi/formaggi per ultimi</t>
        </is>
      </c>
      <c r="C20" s="3" t="inlineStr"/>
      <c r="D20" s="3" t="n"/>
    </row>
    <row r="21">
      <c r="A21" s="6" t="inlineStr">
        <is>
          <t>2.</t>
        </is>
      </c>
      <c r="B21" s="3" t="inlineStr">
        <is>
          <t>Se ti riempi di grassi prima, non finisci le proteine: errore n.1 dell'OMAD</t>
        </is>
      </c>
      <c r="C21" s="3" t="inlineStr"/>
      <c r="D21" s="3" t="n"/>
    </row>
    <row r="22">
      <c r="A22" s="6" t="inlineStr">
        <is>
          <t>3.</t>
        </is>
      </c>
      <c r="B22" s="3" t="inlineStr">
        <is>
          <t>350-400 g proteina principale (carne/pesce/tofu/seitan) + 2ª fonte (uova/formaggi)</t>
        </is>
      </c>
      <c r="C22" s="3" t="inlineStr"/>
      <c r="D22" s="3" t="n"/>
    </row>
    <row r="23">
      <c r="A23" s="6" t="inlineStr">
        <is>
          <t>4.</t>
        </is>
      </c>
      <c r="B23" s="3" t="inlineStr">
        <is>
          <t>Creatina 3-5 g al pasto: mantiene forza e muscolo nel deficit</t>
        </is>
      </c>
      <c r="C23" s="3" t="inlineStr"/>
      <c r="D23" s="3" t="n"/>
    </row>
    <row r="24">
      <c r="A24" s="3" t="inlineStr"/>
      <c r="B24" s="3" t="inlineStr"/>
      <c r="C24" s="3" t="inlineStr"/>
      <c r="D24" s="3" t="n"/>
    </row>
    <row r="25">
      <c r="A25" s="4" t="inlineStr">
        <is>
          <t>RITMO &amp; VERIFICA</t>
        </is>
      </c>
      <c r="B25" s="4" t="inlineStr"/>
      <c r="C25" s="4" t="inlineStr"/>
      <c r="D25" s="4" t="n"/>
    </row>
    <row r="26">
      <c r="A26" s="3" t="inlineStr">
        <is>
          <t>Peso</t>
        </is>
      </c>
      <c r="B26" s="3" t="inlineStr">
        <is>
          <t>1 volta/settimana, stesso giorno, a digiuno</t>
        </is>
      </c>
      <c r="C26" s="3" t="inlineStr">
        <is>
          <t>La bilancia giornaliera oscilla troppo per l'acqua</t>
        </is>
      </c>
      <c r="D26" s="3" t="n"/>
    </row>
    <row r="27">
      <c r="A27" s="3" t="inlineStr">
        <is>
          <t>Circonferenza vita</t>
        </is>
      </c>
      <c r="B27" s="3" t="inlineStr">
        <is>
          <t>1 volta/settimana</t>
        </is>
      </c>
      <c r="C27" s="3" t="inlineStr">
        <is>
          <t>Indicatore più affidabile del grasso</t>
        </is>
      </c>
      <c r="D27" s="3" t="n"/>
    </row>
    <row r="28">
      <c r="A28" s="3" t="inlineStr">
        <is>
          <t>Stop / rivaluta se</t>
        </is>
      </c>
      <c r="B28" s="3" t="inlineStr">
        <is>
          <t>giramenti persistenti, battito irregolare, debolezza marcata</t>
        </is>
      </c>
      <c r="C28" s="3" t="inlineStr">
        <is>
          <t>Senti un medico</t>
        </is>
      </c>
      <c r="D28" s="3" t="n"/>
    </row>
    <row r="29">
      <c r="A29" s="3" t="inlineStr">
        <is>
          <t>Controllo sangue</t>
        </is>
      </c>
      <c r="B29" s="3" t="inlineStr">
        <is>
          <t>consigliato prima di partire</t>
        </is>
      </c>
      <c r="C29" s="3" t="inlineStr">
        <is>
          <t>Glicemia, creatinina, elettroliti, profilo lipidico</t>
        </is>
      </c>
      <c r="D29" s="3" t="n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3" customWidth="1" min="3" max="3"/>
    <col width="15" customWidth="1" min="4" max="4"/>
    <col width="12" customWidth="1" min="5" max="5"/>
    <col width="8" customWidth="1" min="6" max="6"/>
  </cols>
  <sheetData>
    <row r="1">
      <c r="A1" s="1" t="inlineStr">
        <is>
          <t>7 Varianti di Pasto — macro per ingrediente</t>
        </is>
      </c>
    </row>
    <row r="2">
      <c r="A2" s="2" t="inlineStr">
        <is>
          <t>Grammi a crudo/sgocciolato. Totali calcolati automaticamente. 2 carne · 3 pesce · 2 veg.</t>
        </is>
      </c>
    </row>
    <row r="4">
      <c r="A4" s="4" t="inlineStr">
        <is>
          <t>1 - Manzo &amp; uova (carne)</t>
        </is>
      </c>
      <c r="B4" s="4" t="n"/>
      <c r="C4" s="4" t="n"/>
      <c r="D4" s="4" t="n"/>
      <c r="E4" s="4" t="n"/>
      <c r="F4" s="4" t="n"/>
    </row>
    <row r="5">
      <c r="A5" s="7" t="inlineStr">
        <is>
          <t>Ingrediente</t>
        </is>
      </c>
      <c r="B5" s="7" t="inlineStr">
        <is>
          <t>Grammi</t>
        </is>
      </c>
      <c r="C5" s="7" t="inlineStr">
        <is>
          <t>Proteine (g)</t>
        </is>
      </c>
      <c r="D5" s="7" t="inlineStr">
        <is>
          <t>Carbo netti (g)</t>
        </is>
      </c>
      <c r="E5" s="7" t="inlineStr">
        <is>
          <t>Grassi (g)</t>
        </is>
      </c>
      <c r="F5" s="7" t="inlineStr">
        <is>
          <t>kcal</t>
        </is>
      </c>
    </row>
    <row r="6">
      <c r="A6" s="8" t="inlineStr">
        <is>
          <t>Controfiletto di manzo</t>
        </is>
      </c>
      <c r="B6" s="9" t="n">
        <v>480</v>
      </c>
      <c r="C6" s="9">
        <f>ROUND(B6/100*21,1)</f>
        <v/>
      </c>
      <c r="D6" s="9">
        <f>ROUND(B6/100*0,1)</f>
        <v/>
      </c>
      <c r="E6" s="9">
        <f>ROUND(B6/100*12,1)</f>
        <v/>
      </c>
      <c r="F6" s="9">
        <f>ROUND(B6/100*195,0)</f>
        <v/>
      </c>
    </row>
    <row r="7">
      <c r="A7" s="8" t="inlineStr">
        <is>
          <t>Uova (intere)</t>
        </is>
      </c>
      <c r="B7" s="9" t="n">
        <v>150</v>
      </c>
      <c r="C7" s="9">
        <f>ROUND(B7/100*13,1)</f>
        <v/>
      </c>
      <c r="D7" s="9">
        <f>ROUND(B7/100*1,1)</f>
        <v/>
      </c>
      <c r="E7" s="9">
        <f>ROUND(B7/100*11,1)</f>
        <v/>
      </c>
      <c r="F7" s="9">
        <f>ROUND(B7/100*155,0)</f>
        <v/>
      </c>
    </row>
    <row r="8">
      <c r="A8" s="8" t="inlineStr">
        <is>
          <t>Parmigiano</t>
        </is>
      </c>
      <c r="B8" s="9" t="n">
        <v>40</v>
      </c>
      <c r="C8" s="9">
        <f>ROUND(B8/100*33,1)</f>
        <v/>
      </c>
      <c r="D8" s="9">
        <f>ROUND(B8/100*0,1)</f>
        <v/>
      </c>
      <c r="E8" s="9">
        <f>ROUND(B8/100*28,1)</f>
        <v/>
      </c>
      <c r="F8" s="9">
        <f>ROUND(B8/100*390,0)</f>
        <v/>
      </c>
    </row>
    <row r="9">
      <c r="A9" s="8" t="inlineStr">
        <is>
          <t>Spinaci</t>
        </is>
      </c>
      <c r="B9" s="9" t="n">
        <v>200</v>
      </c>
      <c r="C9" s="9">
        <f>ROUND(B9/100*3,1)</f>
        <v/>
      </c>
      <c r="D9" s="9">
        <f>ROUND(B9/100*1,1)</f>
        <v/>
      </c>
      <c r="E9" s="9">
        <f>ROUND(B9/100*0,1)</f>
        <v/>
      </c>
      <c r="F9" s="9">
        <f>ROUND(B9/100*25,0)</f>
        <v/>
      </c>
    </row>
    <row r="10">
      <c r="A10" s="8" t="inlineStr">
        <is>
          <t>Olio EVO</t>
        </is>
      </c>
      <c r="B10" s="9" t="n">
        <v>20</v>
      </c>
      <c r="C10" s="9">
        <f>ROUND(B10/100*0,1)</f>
        <v/>
      </c>
      <c r="D10" s="9">
        <f>ROUND(B10/100*0,1)</f>
        <v/>
      </c>
      <c r="E10" s="9">
        <f>ROUND(B10/100*100,1)</f>
        <v/>
      </c>
      <c r="F10" s="9">
        <f>ROUND(B10/100*884,0)</f>
        <v/>
      </c>
    </row>
    <row r="11">
      <c r="A11" s="10" t="inlineStr">
        <is>
          <t>TOTALE PASTO</t>
        </is>
      </c>
      <c r="B11" s="11">
        <f>SUM(B6:B10)</f>
        <v/>
      </c>
      <c r="C11" s="11">
        <f>SUM(C6:C10)</f>
        <v/>
      </c>
      <c r="D11" s="11">
        <f>SUM(D6:D10)</f>
        <v/>
      </c>
      <c r="E11" s="11">
        <f>SUM(E6:E10)</f>
        <v/>
      </c>
      <c r="F11" s="11">
        <f>SUM(F6:F10)</f>
        <v/>
      </c>
    </row>
    <row r="13">
      <c r="A13" s="4" t="inlineStr">
        <is>
          <t>2 - Pollo &amp; mozzarella (carne)</t>
        </is>
      </c>
      <c r="B13" s="4" t="n"/>
      <c r="C13" s="4" t="n"/>
      <c r="D13" s="4" t="n"/>
      <c r="E13" s="4" t="n"/>
      <c r="F13" s="4" t="n"/>
    </row>
    <row r="14">
      <c r="A14" s="7" t="inlineStr">
        <is>
          <t>Ingrediente</t>
        </is>
      </c>
      <c r="B14" s="7" t="inlineStr">
        <is>
          <t>Grammi</t>
        </is>
      </c>
      <c r="C14" s="7" t="inlineStr">
        <is>
          <t>Proteine (g)</t>
        </is>
      </c>
      <c r="D14" s="7" t="inlineStr">
        <is>
          <t>Carbo netti (g)</t>
        </is>
      </c>
      <c r="E14" s="7" t="inlineStr">
        <is>
          <t>Grassi (g)</t>
        </is>
      </c>
      <c r="F14" s="7" t="inlineStr">
        <is>
          <t>kcal</t>
        </is>
      </c>
    </row>
    <row r="15">
      <c r="A15" s="8" t="inlineStr">
        <is>
          <t>Petto di pollo</t>
        </is>
      </c>
      <c r="B15" s="9" t="n">
        <v>520</v>
      </c>
      <c r="C15" s="9">
        <f>ROUND(B15/100*23,1)</f>
        <v/>
      </c>
      <c r="D15" s="9">
        <f>ROUND(B15/100*0,1)</f>
        <v/>
      </c>
      <c r="E15" s="9">
        <f>ROUND(B15/100*2,1)</f>
        <v/>
      </c>
      <c r="F15" s="9">
        <f>ROUND(B15/100*115,0)</f>
        <v/>
      </c>
    </row>
    <row r="16">
      <c r="A16" s="8" t="inlineStr">
        <is>
          <t>Mozzarella</t>
        </is>
      </c>
      <c r="B16" s="9" t="n">
        <v>125</v>
      </c>
      <c r="C16" s="9">
        <f>ROUND(B16/100*18,1)</f>
        <v/>
      </c>
      <c r="D16" s="9">
        <f>ROUND(B16/100*2,1)</f>
        <v/>
      </c>
      <c r="E16" s="9">
        <f>ROUND(B16/100*16,1)</f>
        <v/>
      </c>
      <c r="F16" s="9">
        <f>ROUND(B16/100*230,0)</f>
        <v/>
      </c>
    </row>
    <row r="17">
      <c r="A17" s="8" t="inlineStr">
        <is>
          <t>Avocado</t>
        </is>
      </c>
      <c r="B17" s="9" t="n">
        <v>100</v>
      </c>
      <c r="C17" s="9">
        <f>ROUND(B17/100*2,1)</f>
        <v/>
      </c>
      <c r="D17" s="9">
        <f>ROUND(B17/100*2,1)</f>
        <v/>
      </c>
      <c r="E17" s="9">
        <f>ROUND(B17/100*15,1)</f>
        <v/>
      </c>
      <c r="F17" s="9">
        <f>ROUND(B17/100*160,0)</f>
        <v/>
      </c>
    </row>
    <row r="18">
      <c r="A18" s="8" t="inlineStr">
        <is>
          <t>Insalata mista</t>
        </is>
      </c>
      <c r="B18" s="9" t="n">
        <v>150</v>
      </c>
      <c r="C18" s="9">
        <f>ROUND(B18/100*1,1)</f>
        <v/>
      </c>
      <c r="D18" s="9">
        <f>ROUND(B18/100*2,1)</f>
        <v/>
      </c>
      <c r="E18" s="9">
        <f>ROUND(B18/100*0,1)</f>
        <v/>
      </c>
      <c r="F18" s="9">
        <f>ROUND(B18/100*15,0)</f>
        <v/>
      </c>
    </row>
    <row r="19">
      <c r="A19" s="8" t="inlineStr">
        <is>
          <t>Olio EVO</t>
        </is>
      </c>
      <c r="B19" s="9" t="n">
        <v>35</v>
      </c>
      <c r="C19" s="9">
        <f>ROUND(B19/100*0,1)</f>
        <v/>
      </c>
      <c r="D19" s="9">
        <f>ROUND(B19/100*0,1)</f>
        <v/>
      </c>
      <c r="E19" s="9">
        <f>ROUND(B19/100*100,1)</f>
        <v/>
      </c>
      <c r="F19" s="9">
        <f>ROUND(B19/100*884,0)</f>
        <v/>
      </c>
    </row>
    <row r="20">
      <c r="A20" s="10" t="inlineStr">
        <is>
          <t>TOTALE PASTO</t>
        </is>
      </c>
      <c r="B20" s="11">
        <f>SUM(B15:B19)</f>
        <v/>
      </c>
      <c r="C20" s="11">
        <f>SUM(C15:C19)</f>
        <v/>
      </c>
      <c r="D20" s="11">
        <f>SUM(D15:D19)</f>
        <v/>
      </c>
      <c r="E20" s="11">
        <f>SUM(E15:E19)</f>
        <v/>
      </c>
      <c r="F20" s="11">
        <f>SUM(F15:F19)</f>
        <v/>
      </c>
    </row>
    <row r="22">
      <c r="A22" s="4" t="inlineStr">
        <is>
          <t>3 - Salmone &amp; avocado (pesce)</t>
        </is>
      </c>
      <c r="B22" s="4" t="n"/>
      <c r="C22" s="4" t="n"/>
      <c r="D22" s="4" t="n"/>
      <c r="E22" s="4" t="n"/>
      <c r="F22" s="4" t="n"/>
    </row>
    <row r="23">
      <c r="A23" s="7" t="inlineStr">
        <is>
          <t>Ingrediente</t>
        </is>
      </c>
      <c r="B23" s="7" t="inlineStr">
        <is>
          <t>Grammi</t>
        </is>
      </c>
      <c r="C23" s="7" t="inlineStr">
        <is>
          <t>Proteine (g)</t>
        </is>
      </c>
      <c r="D23" s="7" t="inlineStr">
        <is>
          <t>Carbo netti (g)</t>
        </is>
      </c>
      <c r="E23" s="7" t="inlineStr">
        <is>
          <t>Grassi (g)</t>
        </is>
      </c>
      <c r="F23" s="7" t="inlineStr">
        <is>
          <t>kcal</t>
        </is>
      </c>
    </row>
    <row r="24">
      <c r="A24" s="8" t="inlineStr">
        <is>
          <t>Salmone</t>
        </is>
      </c>
      <c r="B24" s="9" t="n">
        <v>400</v>
      </c>
      <c r="C24" s="9">
        <f>ROUND(B24/100*20,1)</f>
        <v/>
      </c>
      <c r="D24" s="9">
        <f>ROUND(B24/100*0,1)</f>
        <v/>
      </c>
      <c r="E24" s="9">
        <f>ROUND(B24/100*13,1)</f>
        <v/>
      </c>
      <c r="F24" s="9">
        <f>ROUND(B24/100*200,0)</f>
        <v/>
      </c>
    </row>
    <row r="25">
      <c r="A25" s="8" t="inlineStr">
        <is>
          <t>Uova (intere)</t>
        </is>
      </c>
      <c r="B25" s="9" t="n">
        <v>100</v>
      </c>
      <c r="C25" s="9">
        <f>ROUND(B25/100*13,1)</f>
        <v/>
      </c>
      <c r="D25" s="9">
        <f>ROUND(B25/100*1,1)</f>
        <v/>
      </c>
      <c r="E25" s="9">
        <f>ROUND(B25/100*11,1)</f>
        <v/>
      </c>
      <c r="F25" s="9">
        <f>ROUND(B25/100*155,0)</f>
        <v/>
      </c>
    </row>
    <row r="26">
      <c r="A26" s="8" t="inlineStr">
        <is>
          <t>Parmigiano</t>
        </is>
      </c>
      <c r="B26" s="9" t="n">
        <v>30</v>
      </c>
      <c r="C26" s="9">
        <f>ROUND(B26/100*33,1)</f>
        <v/>
      </c>
      <c r="D26" s="9">
        <f>ROUND(B26/100*0,1)</f>
        <v/>
      </c>
      <c r="E26" s="9">
        <f>ROUND(B26/100*28,1)</f>
        <v/>
      </c>
      <c r="F26" s="9">
        <f>ROUND(B26/100*390,0)</f>
        <v/>
      </c>
    </row>
    <row r="27">
      <c r="A27" s="8" t="inlineStr">
        <is>
          <t>Broccoli</t>
        </is>
      </c>
      <c r="B27" s="9" t="n">
        <v>200</v>
      </c>
      <c r="C27" s="9">
        <f>ROUND(B27/100*3,1)</f>
        <v/>
      </c>
      <c r="D27" s="9">
        <f>ROUND(B27/100*2,1)</f>
        <v/>
      </c>
      <c r="E27" s="9">
        <f>ROUND(B27/100*0,1)</f>
        <v/>
      </c>
      <c r="F27" s="9">
        <f>ROUND(B27/100*35,0)</f>
        <v/>
      </c>
    </row>
    <row r="28">
      <c r="A28" s="8" t="inlineStr">
        <is>
          <t>Avocado</t>
        </is>
      </c>
      <c r="B28" s="9" t="n">
        <v>100</v>
      </c>
      <c r="C28" s="9">
        <f>ROUND(B28/100*2,1)</f>
        <v/>
      </c>
      <c r="D28" s="9">
        <f>ROUND(B28/100*2,1)</f>
        <v/>
      </c>
      <c r="E28" s="9">
        <f>ROUND(B28/100*15,1)</f>
        <v/>
      </c>
      <c r="F28" s="9">
        <f>ROUND(B28/100*160,0)</f>
        <v/>
      </c>
    </row>
    <row r="29">
      <c r="A29" s="8" t="inlineStr">
        <is>
          <t>Olio EVO</t>
        </is>
      </c>
      <c r="B29" s="9" t="n">
        <v>20</v>
      </c>
      <c r="C29" s="9">
        <f>ROUND(B29/100*0,1)</f>
        <v/>
      </c>
      <c r="D29" s="9">
        <f>ROUND(B29/100*0,1)</f>
        <v/>
      </c>
      <c r="E29" s="9">
        <f>ROUND(B29/100*100,1)</f>
        <v/>
      </c>
      <c r="F29" s="9">
        <f>ROUND(B29/100*884,0)</f>
        <v/>
      </c>
    </row>
    <row r="30">
      <c r="A30" s="10" t="inlineStr">
        <is>
          <t>TOTALE PASTO</t>
        </is>
      </c>
      <c r="B30" s="11">
        <f>SUM(B24:B29)</f>
        <v/>
      </c>
      <c r="C30" s="11">
        <f>SUM(C24:C29)</f>
        <v/>
      </c>
      <c r="D30" s="11">
        <f>SUM(D24:D29)</f>
        <v/>
      </c>
      <c r="E30" s="11">
        <f>SUM(E24:E29)</f>
        <v/>
      </c>
      <c r="F30" s="11">
        <f>SUM(F24:F29)</f>
        <v/>
      </c>
    </row>
    <row r="32">
      <c r="A32" s="4" t="inlineStr">
        <is>
          <t>4 - Tonno &amp; uova (pesce)</t>
        </is>
      </c>
      <c r="B32" s="4" t="n"/>
      <c r="C32" s="4" t="n"/>
      <c r="D32" s="4" t="n"/>
      <c r="E32" s="4" t="n"/>
      <c r="F32" s="4" t="n"/>
    </row>
    <row r="33">
      <c r="A33" s="7" t="inlineStr">
        <is>
          <t>Ingrediente</t>
        </is>
      </c>
      <c r="B33" s="7" t="inlineStr">
        <is>
          <t>Grammi</t>
        </is>
      </c>
      <c r="C33" s="7" t="inlineStr">
        <is>
          <t>Proteine (g)</t>
        </is>
      </c>
      <c r="D33" s="7" t="inlineStr">
        <is>
          <t>Carbo netti (g)</t>
        </is>
      </c>
      <c r="E33" s="7" t="inlineStr">
        <is>
          <t>Grassi (g)</t>
        </is>
      </c>
      <c r="F33" s="7" t="inlineStr">
        <is>
          <t>kcal</t>
        </is>
      </c>
    </row>
    <row r="34">
      <c r="A34" s="8" t="inlineStr">
        <is>
          <t>Tonno al naturale (sgocciolato)</t>
        </is>
      </c>
      <c r="B34" s="9" t="n">
        <v>280</v>
      </c>
      <c r="C34" s="9">
        <f>ROUND(B34/100*26,1)</f>
        <v/>
      </c>
      <c r="D34" s="9">
        <f>ROUND(B34/100*0,1)</f>
        <v/>
      </c>
      <c r="E34" s="9">
        <f>ROUND(B34/100*1,1)</f>
        <v/>
      </c>
      <c r="F34" s="9">
        <f>ROUND(B34/100*115,0)</f>
        <v/>
      </c>
    </row>
    <row r="35">
      <c r="A35" s="8" t="inlineStr">
        <is>
          <t>Uova (intere)</t>
        </is>
      </c>
      <c r="B35" s="9" t="n">
        <v>150</v>
      </c>
      <c r="C35" s="9">
        <f>ROUND(B35/100*13,1)</f>
        <v/>
      </c>
      <c r="D35" s="9">
        <f>ROUND(B35/100*1,1)</f>
        <v/>
      </c>
      <c r="E35" s="9">
        <f>ROUND(B35/100*11,1)</f>
        <v/>
      </c>
      <c r="F35" s="9">
        <f>ROUND(B35/100*155,0)</f>
        <v/>
      </c>
    </row>
    <row r="36">
      <c r="A36" s="8" t="inlineStr">
        <is>
          <t>Mozzarella</t>
        </is>
      </c>
      <c r="B36" s="9" t="n">
        <v>100</v>
      </c>
      <c r="C36" s="9">
        <f>ROUND(B36/100*18,1)</f>
        <v/>
      </c>
      <c r="D36" s="9">
        <f>ROUND(B36/100*2,1)</f>
        <v/>
      </c>
      <c r="E36" s="9">
        <f>ROUND(B36/100*16,1)</f>
        <v/>
      </c>
      <c r="F36" s="9">
        <f>ROUND(B36/100*230,0)</f>
        <v/>
      </c>
    </row>
    <row r="37">
      <c r="A37" s="8" t="inlineStr">
        <is>
          <t>Avocado</t>
        </is>
      </c>
      <c r="B37" s="9" t="n">
        <v>100</v>
      </c>
      <c r="C37" s="9">
        <f>ROUND(B37/100*2,1)</f>
        <v/>
      </c>
      <c r="D37" s="9">
        <f>ROUND(B37/100*2,1)</f>
        <v/>
      </c>
      <c r="E37" s="9">
        <f>ROUND(B37/100*15,1)</f>
        <v/>
      </c>
      <c r="F37" s="9">
        <f>ROUND(B37/100*160,0)</f>
        <v/>
      </c>
    </row>
    <row r="38">
      <c r="A38" s="8" t="inlineStr">
        <is>
          <t>Olive</t>
        </is>
      </c>
      <c r="B38" s="9" t="n">
        <v>30</v>
      </c>
      <c r="C38" s="9">
        <f>ROUND(B38/100*1,1)</f>
        <v/>
      </c>
      <c r="D38" s="9">
        <f>ROUND(B38/100*1,1)</f>
        <v/>
      </c>
      <c r="E38" s="9">
        <f>ROUND(B38/100*15,1)</f>
        <v/>
      </c>
      <c r="F38" s="9">
        <f>ROUND(B38/100*150,0)</f>
        <v/>
      </c>
    </row>
    <row r="39">
      <c r="A39" s="8" t="inlineStr">
        <is>
          <t>Insalata mista</t>
        </is>
      </c>
      <c r="B39" s="9" t="n">
        <v>150</v>
      </c>
      <c r="C39" s="9">
        <f>ROUND(B39/100*1,1)</f>
        <v/>
      </c>
      <c r="D39" s="9">
        <f>ROUND(B39/100*2,1)</f>
        <v/>
      </c>
      <c r="E39" s="9">
        <f>ROUND(B39/100*0,1)</f>
        <v/>
      </c>
      <c r="F39" s="9">
        <f>ROUND(B39/100*15,0)</f>
        <v/>
      </c>
    </row>
    <row r="40">
      <c r="A40" s="8" t="inlineStr">
        <is>
          <t>Olio EVO</t>
        </is>
      </c>
      <c r="B40" s="9" t="n">
        <v>30</v>
      </c>
      <c r="C40" s="9">
        <f>ROUND(B40/100*0,1)</f>
        <v/>
      </c>
      <c r="D40" s="9">
        <f>ROUND(B40/100*0,1)</f>
        <v/>
      </c>
      <c r="E40" s="9">
        <f>ROUND(B40/100*100,1)</f>
        <v/>
      </c>
      <c r="F40" s="9">
        <f>ROUND(B40/100*884,0)</f>
        <v/>
      </c>
    </row>
    <row r="41">
      <c r="A41" s="10" t="inlineStr">
        <is>
          <t>TOTALE PASTO</t>
        </is>
      </c>
      <c r="B41" s="11">
        <f>SUM(B34:B40)</f>
        <v/>
      </c>
      <c r="C41" s="11">
        <f>SUM(C34:C40)</f>
        <v/>
      </c>
      <c r="D41" s="11">
        <f>SUM(D34:D40)</f>
        <v/>
      </c>
      <c r="E41" s="11">
        <f>SUM(E34:E40)</f>
        <v/>
      </c>
      <c r="F41" s="11">
        <f>SUM(F34:F40)</f>
        <v/>
      </c>
    </row>
    <row r="43">
      <c r="A43" s="4" t="inlineStr">
        <is>
          <t>5 - Pesce misto (pesce)</t>
        </is>
      </c>
      <c r="B43" s="4" t="n"/>
      <c r="C43" s="4" t="n"/>
      <c r="D43" s="4" t="n"/>
      <c r="E43" s="4" t="n"/>
      <c r="F43" s="4" t="n"/>
    </row>
    <row r="44">
      <c r="A44" s="7" t="inlineStr">
        <is>
          <t>Ingrediente</t>
        </is>
      </c>
      <c r="B44" s="7" t="inlineStr">
        <is>
          <t>Grammi</t>
        </is>
      </c>
      <c r="C44" s="7" t="inlineStr">
        <is>
          <t>Proteine (g)</t>
        </is>
      </c>
      <c r="D44" s="7" t="inlineStr">
        <is>
          <t>Carbo netti (g)</t>
        </is>
      </c>
      <c r="E44" s="7" t="inlineStr">
        <is>
          <t>Grassi (g)</t>
        </is>
      </c>
      <c r="F44" s="7" t="inlineStr">
        <is>
          <t>kcal</t>
        </is>
      </c>
    </row>
    <row r="45">
      <c r="A45" s="8" t="inlineStr">
        <is>
          <t>Branzino</t>
        </is>
      </c>
      <c r="B45" s="9" t="n">
        <v>350</v>
      </c>
      <c r="C45" s="9">
        <f>ROUND(B45/100*18,1)</f>
        <v/>
      </c>
      <c r="D45" s="9">
        <f>ROUND(B45/100*0,1)</f>
        <v/>
      </c>
      <c r="E45" s="9">
        <f>ROUND(B45/100*3,1)</f>
        <v/>
      </c>
      <c r="F45" s="9">
        <f>ROUND(B45/100*100,0)</f>
        <v/>
      </c>
    </row>
    <row r="46">
      <c r="A46" s="8" t="inlineStr">
        <is>
          <t>Gamberi</t>
        </is>
      </c>
      <c r="B46" s="9" t="n">
        <v>280</v>
      </c>
      <c r="C46" s="9">
        <f>ROUND(B46/100*20,1)</f>
        <v/>
      </c>
      <c r="D46" s="9">
        <f>ROUND(B46/100*0,1)</f>
        <v/>
      </c>
      <c r="E46" s="9">
        <f>ROUND(B46/100*1,1)</f>
        <v/>
      </c>
      <c r="F46" s="9">
        <f>ROUND(B46/100*90,0)</f>
        <v/>
      </c>
    </row>
    <row r="47">
      <c r="A47" s="8" t="inlineStr">
        <is>
          <t>Zucchine</t>
        </is>
      </c>
      <c r="B47" s="9" t="n">
        <v>200</v>
      </c>
      <c r="C47" s="9">
        <f>ROUND(B47/100*2,1)</f>
        <v/>
      </c>
      <c r="D47" s="9">
        <f>ROUND(B47/100*2,1)</f>
        <v/>
      </c>
      <c r="E47" s="9">
        <f>ROUND(B47/100*0,1)</f>
        <v/>
      </c>
      <c r="F47" s="9">
        <f>ROUND(B47/100*20,0)</f>
        <v/>
      </c>
    </row>
    <row r="48">
      <c r="A48" s="8" t="inlineStr">
        <is>
          <t>Avocado</t>
        </is>
      </c>
      <c r="B48" s="9" t="n">
        <v>120</v>
      </c>
      <c r="C48" s="9">
        <f>ROUND(B48/100*2,1)</f>
        <v/>
      </c>
      <c r="D48" s="9">
        <f>ROUND(B48/100*2,1)</f>
        <v/>
      </c>
      <c r="E48" s="9">
        <f>ROUND(B48/100*15,1)</f>
        <v/>
      </c>
      <c r="F48" s="9">
        <f>ROUND(B48/100*160,0)</f>
        <v/>
      </c>
    </row>
    <row r="49">
      <c r="A49" s="8" t="inlineStr">
        <is>
          <t>Olive</t>
        </is>
      </c>
      <c r="B49" s="9" t="n">
        <v>40</v>
      </c>
      <c r="C49" s="9">
        <f>ROUND(B49/100*1,1)</f>
        <v/>
      </c>
      <c r="D49" s="9">
        <f>ROUND(B49/100*1,1)</f>
        <v/>
      </c>
      <c r="E49" s="9">
        <f>ROUND(B49/100*15,1)</f>
        <v/>
      </c>
      <c r="F49" s="9">
        <f>ROUND(B49/100*150,0)</f>
        <v/>
      </c>
    </row>
    <row r="50">
      <c r="A50" s="8" t="inlineStr">
        <is>
          <t>Olio EVO</t>
        </is>
      </c>
      <c r="B50" s="9" t="n">
        <v>45</v>
      </c>
      <c r="C50" s="9">
        <f>ROUND(B50/100*0,1)</f>
        <v/>
      </c>
      <c r="D50" s="9">
        <f>ROUND(B50/100*0,1)</f>
        <v/>
      </c>
      <c r="E50" s="9">
        <f>ROUND(B50/100*100,1)</f>
        <v/>
      </c>
      <c r="F50" s="9">
        <f>ROUND(B50/100*884,0)</f>
        <v/>
      </c>
    </row>
    <row r="51">
      <c r="A51" s="10" t="inlineStr">
        <is>
          <t>TOTALE PASTO</t>
        </is>
      </c>
      <c r="B51" s="11">
        <f>SUM(B45:B50)</f>
        <v/>
      </c>
      <c r="C51" s="11">
        <f>SUM(C45:C50)</f>
        <v/>
      </c>
      <c r="D51" s="11">
        <f>SUM(D45:D50)</f>
        <v/>
      </c>
      <c r="E51" s="11">
        <f>SUM(E45:E50)</f>
        <v/>
      </c>
      <c r="F51" s="11">
        <f>SUM(F45:F50)</f>
        <v/>
      </c>
    </row>
    <row r="53">
      <c r="A53" s="4" t="inlineStr">
        <is>
          <t>6 - Tofu strapazzato &amp; funghi (veg)</t>
        </is>
      </c>
      <c r="B53" s="4" t="n"/>
      <c r="C53" s="4" t="n"/>
      <c r="D53" s="4" t="n"/>
      <c r="E53" s="4" t="n"/>
      <c r="F53" s="4" t="n"/>
    </row>
    <row r="54">
      <c r="A54" s="7" t="inlineStr">
        <is>
          <t>Ingrediente</t>
        </is>
      </c>
      <c r="B54" s="7" t="inlineStr">
        <is>
          <t>Grammi</t>
        </is>
      </c>
      <c r="C54" s="7" t="inlineStr">
        <is>
          <t>Proteine (g)</t>
        </is>
      </c>
      <c r="D54" s="7" t="inlineStr">
        <is>
          <t>Carbo netti (g)</t>
        </is>
      </c>
      <c r="E54" s="7" t="inlineStr">
        <is>
          <t>Grassi (g)</t>
        </is>
      </c>
      <c r="F54" s="7" t="inlineStr">
        <is>
          <t>kcal</t>
        </is>
      </c>
    </row>
    <row r="55">
      <c r="A55" s="8" t="inlineStr">
        <is>
          <t>Tofu sodo</t>
        </is>
      </c>
      <c r="B55" s="9" t="n">
        <v>500</v>
      </c>
      <c r="C55" s="9">
        <f>ROUND(B55/100*13,1)</f>
        <v/>
      </c>
      <c r="D55" s="9">
        <f>ROUND(B55/100*2,1)</f>
        <v/>
      </c>
      <c r="E55" s="9">
        <f>ROUND(B55/100*8,1)</f>
        <v/>
      </c>
      <c r="F55" s="9">
        <f>ROUND(B55/100*130,0)</f>
        <v/>
      </c>
    </row>
    <row r="56">
      <c r="A56" s="8" t="inlineStr">
        <is>
          <t>Uova (intere)</t>
        </is>
      </c>
      <c r="B56" s="9" t="n">
        <v>200</v>
      </c>
      <c r="C56" s="9">
        <f>ROUND(B56/100*13,1)</f>
        <v/>
      </c>
      <c r="D56" s="9">
        <f>ROUND(B56/100*1,1)</f>
        <v/>
      </c>
      <c r="E56" s="9">
        <f>ROUND(B56/100*11,1)</f>
        <v/>
      </c>
      <c r="F56" s="9">
        <f>ROUND(B56/100*155,0)</f>
        <v/>
      </c>
    </row>
    <row r="57">
      <c r="A57" s="8" t="inlineStr">
        <is>
          <t>Parmigiano</t>
        </is>
      </c>
      <c r="B57" s="9" t="n">
        <v>60</v>
      </c>
      <c r="C57" s="9">
        <f>ROUND(B57/100*33,1)</f>
        <v/>
      </c>
      <c r="D57" s="9">
        <f>ROUND(B57/100*0,1)</f>
        <v/>
      </c>
      <c r="E57" s="9">
        <f>ROUND(B57/100*28,1)</f>
        <v/>
      </c>
      <c r="F57" s="9">
        <f>ROUND(B57/100*390,0)</f>
        <v/>
      </c>
    </row>
    <row r="58">
      <c r="A58" s="8" t="inlineStr">
        <is>
          <t>Funghi</t>
        </is>
      </c>
      <c r="B58" s="9" t="n">
        <v>150</v>
      </c>
      <c r="C58" s="9">
        <f>ROUND(B58/100*3,1)</f>
        <v/>
      </c>
      <c r="D58" s="9">
        <f>ROUND(B58/100*1,1)</f>
        <v/>
      </c>
      <c r="E58" s="9">
        <f>ROUND(B58/100*0,1)</f>
        <v/>
      </c>
      <c r="F58" s="9">
        <f>ROUND(B58/100*22,0)</f>
        <v/>
      </c>
    </row>
    <row r="59">
      <c r="A59" s="8" t="inlineStr">
        <is>
          <t>Spinaci</t>
        </is>
      </c>
      <c r="B59" s="9" t="n">
        <v>150</v>
      </c>
      <c r="C59" s="9">
        <f>ROUND(B59/100*3,1)</f>
        <v/>
      </c>
      <c r="D59" s="9">
        <f>ROUND(B59/100*1,1)</f>
        <v/>
      </c>
      <c r="E59" s="9">
        <f>ROUND(B59/100*0,1)</f>
        <v/>
      </c>
      <c r="F59" s="9">
        <f>ROUND(B59/100*25,0)</f>
        <v/>
      </c>
    </row>
    <row r="60">
      <c r="A60" s="8" t="inlineStr">
        <is>
          <t>Olio EVO</t>
        </is>
      </c>
      <c r="B60" s="9" t="n">
        <v>25</v>
      </c>
      <c r="C60" s="9">
        <f>ROUND(B60/100*0,1)</f>
        <v/>
      </c>
      <c r="D60" s="9">
        <f>ROUND(B60/100*0,1)</f>
        <v/>
      </c>
      <c r="E60" s="9">
        <f>ROUND(B60/100*100,1)</f>
        <v/>
      </c>
      <c r="F60" s="9">
        <f>ROUND(B60/100*884,0)</f>
        <v/>
      </c>
    </row>
    <row r="61">
      <c r="A61" s="10" t="inlineStr">
        <is>
          <t>TOTALE PASTO</t>
        </is>
      </c>
      <c r="B61" s="11">
        <f>SUM(B55:B60)</f>
        <v/>
      </c>
      <c r="C61" s="11">
        <f>SUM(C55:C60)</f>
        <v/>
      </c>
      <c r="D61" s="11">
        <f>SUM(D55:D60)</f>
        <v/>
      </c>
      <c r="E61" s="11">
        <f>SUM(E55:E60)</f>
        <v/>
      </c>
      <c r="F61" s="11">
        <f>SUM(F55:F60)</f>
        <v/>
      </c>
    </row>
    <row r="63">
      <c r="A63" s="4" t="inlineStr">
        <is>
          <t>7 - Seitan ai funghi (veg)</t>
        </is>
      </c>
      <c r="B63" s="4" t="n"/>
      <c r="C63" s="4" t="n"/>
      <c r="D63" s="4" t="n"/>
      <c r="E63" s="4" t="n"/>
      <c r="F63" s="4" t="n"/>
    </row>
    <row r="64">
      <c r="A64" s="7" t="inlineStr">
        <is>
          <t>Ingrediente</t>
        </is>
      </c>
      <c r="B64" s="7" t="inlineStr">
        <is>
          <t>Grammi</t>
        </is>
      </c>
      <c r="C64" s="7" t="inlineStr">
        <is>
          <t>Proteine (g)</t>
        </is>
      </c>
      <c r="D64" s="7" t="inlineStr">
        <is>
          <t>Carbo netti (g)</t>
        </is>
      </c>
      <c r="E64" s="7" t="inlineStr">
        <is>
          <t>Grassi (g)</t>
        </is>
      </c>
      <c r="F64" s="7" t="inlineStr">
        <is>
          <t>kcal</t>
        </is>
      </c>
    </row>
    <row r="65">
      <c r="A65" s="8" t="inlineStr">
        <is>
          <t>Seitan</t>
        </is>
      </c>
      <c r="B65" s="9" t="n">
        <v>320</v>
      </c>
      <c r="C65" s="9">
        <f>ROUND(B65/100*25,1)</f>
        <v/>
      </c>
      <c r="D65" s="9">
        <f>ROUND(B65/100*4,1)</f>
        <v/>
      </c>
      <c r="E65" s="9">
        <f>ROUND(B65/100*2,1)</f>
        <v/>
      </c>
      <c r="F65" s="9">
        <f>ROUND(B65/100*140,0)</f>
        <v/>
      </c>
    </row>
    <row r="66">
      <c r="A66" s="8" t="inlineStr">
        <is>
          <t>Tofu sodo</t>
        </is>
      </c>
      <c r="B66" s="9" t="n">
        <v>150</v>
      </c>
      <c r="C66" s="9">
        <f>ROUND(B66/100*13,1)</f>
        <v/>
      </c>
      <c r="D66" s="9">
        <f>ROUND(B66/100*2,1)</f>
        <v/>
      </c>
      <c r="E66" s="9">
        <f>ROUND(B66/100*8,1)</f>
        <v/>
      </c>
      <c r="F66" s="9">
        <f>ROUND(B66/100*130,0)</f>
        <v/>
      </c>
    </row>
    <row r="67">
      <c r="A67" s="8" t="inlineStr">
        <is>
          <t>Parmigiano</t>
        </is>
      </c>
      <c r="B67" s="9" t="n">
        <v>30</v>
      </c>
      <c r="C67" s="9">
        <f>ROUND(B67/100*33,1)</f>
        <v/>
      </c>
      <c r="D67" s="9">
        <f>ROUND(B67/100*0,1)</f>
        <v/>
      </c>
      <c r="E67" s="9">
        <f>ROUND(B67/100*28,1)</f>
        <v/>
      </c>
      <c r="F67" s="9">
        <f>ROUND(B67/100*390,0)</f>
        <v/>
      </c>
    </row>
    <row r="68">
      <c r="A68" s="8" t="inlineStr">
        <is>
          <t>Funghi</t>
        </is>
      </c>
      <c r="B68" s="9" t="n">
        <v>150</v>
      </c>
      <c r="C68" s="9">
        <f>ROUND(B68/100*3,1)</f>
        <v/>
      </c>
      <c r="D68" s="9">
        <f>ROUND(B68/100*1,1)</f>
        <v/>
      </c>
      <c r="E68" s="9">
        <f>ROUND(B68/100*0,1)</f>
        <v/>
      </c>
      <c r="F68" s="9">
        <f>ROUND(B68/100*22,0)</f>
        <v/>
      </c>
    </row>
    <row r="69">
      <c r="A69" s="8" t="inlineStr">
        <is>
          <t>Avocado</t>
        </is>
      </c>
      <c r="B69" s="9" t="n">
        <v>100</v>
      </c>
      <c r="C69" s="9">
        <f>ROUND(B69/100*2,1)</f>
        <v/>
      </c>
      <c r="D69" s="9">
        <f>ROUND(B69/100*2,1)</f>
        <v/>
      </c>
      <c r="E69" s="9">
        <f>ROUND(B69/100*15,1)</f>
        <v/>
      </c>
      <c r="F69" s="9">
        <f>ROUND(B69/100*160,0)</f>
        <v/>
      </c>
    </row>
    <row r="70">
      <c r="A70" s="8" t="inlineStr">
        <is>
          <t>Olive</t>
        </is>
      </c>
      <c r="B70" s="9" t="n">
        <v>30</v>
      </c>
      <c r="C70" s="9">
        <f>ROUND(B70/100*1,1)</f>
        <v/>
      </c>
      <c r="D70" s="9">
        <f>ROUND(B70/100*1,1)</f>
        <v/>
      </c>
      <c r="E70" s="9">
        <f>ROUND(B70/100*15,1)</f>
        <v/>
      </c>
      <c r="F70" s="9">
        <f>ROUND(B70/100*150,0)</f>
        <v/>
      </c>
    </row>
    <row r="71">
      <c r="A71" s="8" t="inlineStr">
        <is>
          <t>Olio EVO</t>
        </is>
      </c>
      <c r="B71" s="9" t="n">
        <v>35</v>
      </c>
      <c r="C71" s="9">
        <f>ROUND(B71/100*0,1)</f>
        <v/>
      </c>
      <c r="D71" s="9">
        <f>ROUND(B71/100*0,1)</f>
        <v/>
      </c>
      <c r="E71" s="9">
        <f>ROUND(B71/100*100,1)</f>
        <v/>
      </c>
      <c r="F71" s="9">
        <f>ROUND(B71/100*884,0)</f>
        <v/>
      </c>
    </row>
    <row r="72">
      <c r="A72" s="10" t="inlineStr">
        <is>
          <t>TOTALE PASTO</t>
        </is>
      </c>
      <c r="B72" s="11">
        <f>SUM(B65:B71)</f>
        <v/>
      </c>
      <c r="C72" s="11">
        <f>SUM(C65:C71)</f>
        <v/>
      </c>
      <c r="D72" s="11">
        <f>SUM(D65:D71)</f>
        <v/>
      </c>
      <c r="E72" s="11">
        <f>SUM(E65:E71)</f>
        <v/>
      </c>
      <c r="F72" s="11">
        <f>SUM(F65:F71)</f>
        <v/>
      </c>
    </row>
    <row r="74">
      <c r="A74" s="12" t="inlineStr">
        <is>
          <t>MEDIA / GIORNO</t>
        </is>
      </c>
      <c r="B74" s="13" t="n"/>
      <c r="C74" s="13">
        <f>ROUND(AVERAGE(C11,C20,C30,C41,C51,C61,C72),0)</f>
        <v/>
      </c>
      <c r="D74" s="13">
        <f>ROUND(AVERAGE(D11,D20,D30,D41,D51,D61,D72),0)</f>
        <v/>
      </c>
      <c r="E74" s="13">
        <f>ROUND(AVERAGE(E11,E20,E30,E41,E51,E61,E72),0)</f>
        <v/>
      </c>
      <c r="F74" s="13">
        <f>ROUND(AVERAGE(F11,F20,F30,F41,F51,F61,F72),0)</f>
        <v/>
      </c>
    </row>
  </sheetData>
  <mergeCells count="9">
    <mergeCell ref="A2:F2"/>
    <mergeCell ref="A63:F63"/>
    <mergeCell ref="A13:F13"/>
    <mergeCell ref="A1:F1"/>
    <mergeCell ref="A32:F32"/>
    <mergeCell ref="A22:F22"/>
    <mergeCell ref="A4:F4"/>
    <mergeCell ref="A53:F53"/>
    <mergeCell ref="A43:F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32" customWidth="1" min="3" max="3"/>
  </cols>
  <sheetData>
    <row r="1">
      <c r="A1" s="1" t="inlineStr">
        <is>
          <t>Lista della Spesa — 1 settimana (7 pasti)</t>
        </is>
      </c>
    </row>
    <row r="2">
      <c r="A2" s="2" t="inlineStr">
        <is>
          <t>Quantità totali sommate dai 7 pasti. Aggiungi un margine per gli sprechi.</t>
        </is>
      </c>
    </row>
    <row r="4">
      <c r="A4" s="7" t="inlineStr">
        <is>
          <t>Categoria / Alimento</t>
        </is>
      </c>
      <c r="B4" s="7" t="inlineStr">
        <is>
          <t>Quantità settimana</t>
        </is>
      </c>
      <c r="C4" s="7" t="inlineStr">
        <is>
          <t>Note</t>
        </is>
      </c>
    </row>
    <row r="5">
      <c r="A5" s="4" t="inlineStr">
        <is>
          <t>CARNE, PESCE &amp; PROTEINE VEG</t>
        </is>
      </c>
      <c r="B5" s="4" t="n"/>
      <c r="C5" s="4" t="n"/>
    </row>
    <row r="6">
      <c r="A6" s="8" t="inlineStr">
        <is>
          <t>Controfiletto di manzo</t>
        </is>
      </c>
      <c r="B6" s="9" t="inlineStr">
        <is>
          <t>480 g</t>
        </is>
      </c>
      <c r="C6" s="8" t="inlineStr"/>
    </row>
    <row r="7">
      <c r="A7" s="8" t="inlineStr">
        <is>
          <t>Petto di pollo</t>
        </is>
      </c>
      <c r="B7" s="9" t="inlineStr">
        <is>
          <t>520 g</t>
        </is>
      </c>
      <c r="C7" s="8" t="inlineStr"/>
    </row>
    <row r="8">
      <c r="A8" s="8" t="inlineStr">
        <is>
          <t>Salmone</t>
        </is>
      </c>
      <c r="B8" s="9" t="inlineStr">
        <is>
          <t>400 g</t>
        </is>
      </c>
      <c r="C8" s="8" t="inlineStr"/>
    </row>
    <row r="9">
      <c r="A9" s="8" t="inlineStr">
        <is>
          <t>Tonno al naturale (sgocciolato)</t>
        </is>
      </c>
      <c r="B9" s="9" t="inlineStr">
        <is>
          <t>280 g</t>
        </is>
      </c>
      <c r="C9" s="8" t="inlineStr"/>
    </row>
    <row r="10">
      <c r="A10" s="8" t="inlineStr">
        <is>
          <t>Branzino</t>
        </is>
      </c>
      <c r="B10" s="9" t="inlineStr">
        <is>
          <t>350 g</t>
        </is>
      </c>
      <c r="C10" s="8" t="inlineStr"/>
    </row>
    <row r="11">
      <c r="A11" s="8" t="inlineStr">
        <is>
          <t>Gamberi</t>
        </is>
      </c>
      <c r="B11" s="9" t="inlineStr">
        <is>
          <t>280 g</t>
        </is>
      </c>
      <c r="C11" s="8" t="inlineStr"/>
    </row>
    <row r="12">
      <c r="A12" s="8" t="inlineStr">
        <is>
          <t>Tofu sodo</t>
        </is>
      </c>
      <c r="B12" s="9" t="inlineStr">
        <is>
          <t>650 g</t>
        </is>
      </c>
      <c r="C12" s="8" t="inlineStr"/>
    </row>
    <row r="13">
      <c r="A13" s="8" t="inlineStr">
        <is>
          <t>Seitan</t>
        </is>
      </c>
      <c r="B13" s="9" t="inlineStr">
        <is>
          <t>320 g</t>
        </is>
      </c>
      <c r="C13" s="8" t="inlineStr"/>
    </row>
    <row r="14">
      <c r="A14" s="4" t="inlineStr">
        <is>
          <t>UOVA &amp; LATTICINI</t>
        </is>
      </c>
      <c r="B14" s="4" t="n"/>
      <c r="C14" s="4" t="n"/>
    </row>
    <row r="15">
      <c r="A15" s="8" t="inlineStr">
        <is>
          <t>Uova (intere)</t>
        </is>
      </c>
      <c r="B15" s="9" t="inlineStr">
        <is>
          <t>600 g</t>
        </is>
      </c>
      <c r="C15" s="8" t="inlineStr">
        <is>
          <t>~12 uova</t>
        </is>
      </c>
    </row>
    <row r="16">
      <c r="A16" s="8" t="inlineStr">
        <is>
          <t>Mozzarella</t>
        </is>
      </c>
      <c r="B16" s="9" t="inlineStr">
        <is>
          <t>225 g</t>
        </is>
      </c>
      <c r="C16" s="8" t="inlineStr"/>
    </row>
    <row r="17">
      <c r="A17" s="8" t="inlineStr">
        <is>
          <t>Parmigiano</t>
        </is>
      </c>
      <c r="B17" s="9" t="inlineStr">
        <is>
          <t>160 g</t>
        </is>
      </c>
      <c r="C17" s="8" t="inlineStr"/>
    </row>
    <row r="18">
      <c r="A18" s="4" t="inlineStr">
        <is>
          <t>VERDURE &amp; FRUTTA</t>
        </is>
      </c>
      <c r="B18" s="4" t="n"/>
      <c r="C18" s="4" t="n"/>
    </row>
    <row r="19">
      <c r="A19" s="8" t="inlineStr">
        <is>
          <t>Funghi</t>
        </is>
      </c>
      <c r="B19" s="9" t="inlineStr">
        <is>
          <t>300 g</t>
        </is>
      </c>
      <c r="C19" s="8" t="inlineStr"/>
    </row>
    <row r="20">
      <c r="A20" s="8" t="inlineStr">
        <is>
          <t>Spinaci</t>
        </is>
      </c>
      <c r="B20" s="9" t="inlineStr">
        <is>
          <t>350 g</t>
        </is>
      </c>
      <c r="C20" s="8" t="inlineStr"/>
    </row>
    <row r="21">
      <c r="A21" s="8" t="inlineStr">
        <is>
          <t>Broccoli</t>
        </is>
      </c>
      <c r="B21" s="9" t="inlineStr">
        <is>
          <t>200 g</t>
        </is>
      </c>
      <c r="C21" s="8" t="inlineStr"/>
    </row>
    <row r="22">
      <c r="A22" s="8" t="inlineStr">
        <is>
          <t>Zucchine</t>
        </is>
      </c>
      <c r="B22" s="9" t="inlineStr">
        <is>
          <t>200 g</t>
        </is>
      </c>
      <c r="C22" s="8" t="inlineStr"/>
    </row>
    <row r="23">
      <c r="A23" s="8" t="inlineStr">
        <is>
          <t>Insalata mista</t>
        </is>
      </c>
      <c r="B23" s="9" t="inlineStr">
        <is>
          <t>300 g</t>
        </is>
      </c>
      <c r="C23" s="8" t="inlineStr"/>
    </row>
    <row r="24">
      <c r="A24" s="8" t="inlineStr">
        <is>
          <t>Avocado</t>
        </is>
      </c>
      <c r="B24" s="9" t="inlineStr">
        <is>
          <t>520 g</t>
        </is>
      </c>
      <c r="C24" s="8" t="inlineStr"/>
    </row>
    <row r="25">
      <c r="A25" s="8" t="inlineStr">
        <is>
          <t>Olive</t>
        </is>
      </c>
      <c r="B25" s="9" t="inlineStr">
        <is>
          <t>100 g</t>
        </is>
      </c>
      <c r="C25" s="8" t="inlineStr"/>
    </row>
    <row r="26">
      <c r="A26" s="4" t="inlineStr">
        <is>
          <t>GRASSI &amp; VARIE</t>
        </is>
      </c>
      <c r="B26" s="4" t="n"/>
      <c r="C26" s="4" t="n"/>
    </row>
    <row r="27">
      <c r="A27" s="8" t="inlineStr">
        <is>
          <t>Olio EVO</t>
        </is>
      </c>
      <c r="B27" s="9" t="inlineStr">
        <is>
          <t>210 g</t>
        </is>
      </c>
      <c r="C27" s="8" t="inlineStr"/>
    </row>
    <row r="29">
      <c r="A29" s="4" t="inlineStr">
        <is>
          <t>DA NON DIMENTICARE (non nei pasti)</t>
        </is>
      </c>
      <c r="B29" s="4" t="n"/>
      <c r="C29" s="4" t="n"/>
    </row>
    <row r="30">
      <c r="A30" s="8" t="inlineStr">
        <is>
          <t>Sale (anche sale rosa)</t>
        </is>
      </c>
      <c r="B30" s="9" t="inlineStr">
        <is>
          <t>—</t>
        </is>
      </c>
      <c r="C30" s="8" t="inlineStr">
        <is>
          <t>4-5 g/giorno di sodio</t>
        </is>
      </c>
    </row>
    <row r="31">
      <c r="A31" s="8" t="inlineStr">
        <is>
          <t>Magnesio citrato/bisglicinato</t>
        </is>
      </c>
      <c r="B31" s="9" t="inlineStr">
        <is>
          <t>—</t>
        </is>
      </c>
      <c r="C31" s="8" t="inlineStr">
        <is>
          <t>300-400 mg la sera</t>
        </is>
      </c>
    </row>
    <row r="32">
      <c r="A32" s="8" t="inlineStr">
        <is>
          <t>Potassio (citrato)</t>
        </is>
      </c>
      <c r="B32" s="9" t="inlineStr">
        <is>
          <t>opzionale</t>
        </is>
      </c>
      <c r="C32" s="8" t="inlineStr">
        <is>
          <t>se crampi/stanchezza</t>
        </is>
      </c>
    </row>
    <row r="33">
      <c r="A33" s="8" t="inlineStr">
        <is>
          <t>Creatina monoidrato</t>
        </is>
      </c>
      <c r="B33" s="9" t="inlineStr">
        <is>
          <t>—</t>
        </is>
      </c>
      <c r="C33" s="8" t="inlineStr">
        <is>
          <t>3-5 g/giorno al pasto</t>
        </is>
      </c>
    </row>
    <row r="34">
      <c r="A34" s="8" t="inlineStr">
        <is>
          <t>Multivitaminico</t>
        </is>
      </c>
      <c r="B34" s="9" t="inlineStr">
        <is>
          <t>—</t>
        </is>
      </c>
      <c r="C34" s="8" t="inlineStr">
        <is>
          <t>1 pasto/die copre poco</t>
        </is>
      </c>
    </row>
    <row r="35">
      <c r="A35" s="8" t="inlineStr">
        <is>
          <t>Omega-3</t>
        </is>
      </c>
      <c r="B35" s="9" t="inlineStr">
        <is>
          <t>opzionale</t>
        </is>
      </c>
      <c r="C35" s="8" t="inlineStr">
        <is>
          <t>se mangi poco pesce grasso</t>
        </is>
      </c>
    </row>
  </sheetData>
  <mergeCells count="7">
    <mergeCell ref="A1:C1"/>
    <mergeCell ref="A5:C5"/>
    <mergeCell ref="A14:C14"/>
    <mergeCell ref="A18:C18"/>
    <mergeCell ref="A29:C29"/>
    <mergeCell ref="A26:C2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2026-06-02T08:11:17Z</dcterms:created>
  <dcterms:modified xmlns:dcterms="http://purl.org/dc/terms/" xmlns:xsi="http://www.w3.org/2001/XMLSchema-instance" xsi:type="dcterms:W3CDTF">2026-06-02T08:11:17Z</dcterms:modified>
</cp:coreProperties>
</file>